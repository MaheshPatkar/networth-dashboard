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filterPrivacy="1"/>
  <xr:revisionPtr revIDLastSave="104" documentId="11_C3A31AEAA7AD605B695143B41EA7DD5F21B74E37" xr6:coauthVersionLast="47" xr6:coauthVersionMax="47" xr10:uidLastSave="{57EE2254-BF45-4E53-AB6D-4A06E0A9B630}"/>
  <bookViews>
    <workbookView xWindow="0" yWindow="0" windowWidth="0" windowHeight="0" xr2:uid="{00000000-000D-0000-FFFF-FFFF00000000}"/>
  </bookViews>
  <sheets>
    <sheet name="accounts" sheetId="1" r:id="rId1"/>
    <sheet name="snapsho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2" i="1"/>
  <c r="E5" i="1"/>
  <c r="E4" i="1"/>
  <c r="E3" i="1"/>
</calcChain>
</file>

<file path=xl/sharedStrings.xml><?xml version="1.0" encoding="utf-8"?>
<sst xmlns="http://schemas.openxmlformats.org/spreadsheetml/2006/main" count="77" uniqueCount="42">
  <si>
    <t>id</t>
  </si>
  <si>
    <t>name</t>
  </si>
  <si>
    <t>type</t>
  </si>
  <si>
    <t>category</t>
  </si>
  <si>
    <t>value (Lakh)</t>
  </si>
  <si>
    <t>as_of_date</t>
  </si>
  <si>
    <t>notes</t>
  </si>
  <si>
    <t>Stocks Mahesh</t>
  </si>
  <si>
    <t>asset</t>
  </si>
  <si>
    <t>Equity</t>
  </si>
  <si>
    <t>Equity Mutual Fund - Mahesh</t>
  </si>
  <si>
    <t>Stocks Papa</t>
  </si>
  <si>
    <t>Equity Mutual Fund - Papa</t>
  </si>
  <si>
    <t>Government Debt Funds - Papa</t>
  </si>
  <si>
    <t>Debt</t>
  </si>
  <si>
    <t>AAA Debt Funds -Papa (Wint Wealth)</t>
  </si>
  <si>
    <t>HDFC Bank</t>
  </si>
  <si>
    <t>Cash</t>
  </si>
  <si>
    <t>IDFC First Bank</t>
  </si>
  <si>
    <t>Hdfc FD</t>
  </si>
  <si>
    <t>IDFC FD</t>
  </si>
  <si>
    <t>Marraige Fund Invested as FD</t>
  </si>
  <si>
    <t>SGB - Papa</t>
  </si>
  <si>
    <t>Soverign Gold Bond - Mahesh</t>
  </si>
  <si>
    <t>Gold</t>
  </si>
  <si>
    <t>Gold Etf - Mahesh</t>
  </si>
  <si>
    <t>PPF</t>
  </si>
  <si>
    <t>Reserved exclusively for either relocating to Sweden or purchasing a car if relocation doesn't happen.</t>
  </si>
  <si>
    <t xml:space="preserve">Money sitting Idle in Swedish Bank Account </t>
  </si>
  <si>
    <t>Real Estate Investment - Taloja Cidco Apartment</t>
  </si>
  <si>
    <t>Real Estate</t>
  </si>
  <si>
    <t>PF</t>
  </si>
  <si>
    <t>Retirement</t>
  </si>
  <si>
    <t>NPS</t>
  </si>
  <si>
    <t>Swedish Pension</t>
  </si>
  <si>
    <t>Home Loan Debt</t>
  </si>
  <si>
    <t>liability</t>
  </si>
  <si>
    <t>Loan</t>
  </si>
  <si>
    <t>date</t>
  </si>
  <si>
    <t>total_assets</t>
  </si>
  <si>
    <t>total_liabilities</t>
  </si>
  <si>
    <t>net_worth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</si>
</sst>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ptos"/>
    </font>
    <font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2" borderId="0" xfId="0" applyFill="1"/>
    <xf numFmtId="14" fontId="0" fillId="2" borderId="0" xfId="0" applyNumberFormat="1" applyFill="1"/>
    <xf numFmtId="0" fontId="2" fillId="2" borderId="1" xfId="0" applyFont="1" applyFill="1" applyBorder="1" applyAlignment="1">
      <alignment wrapText="1"/>
    </xf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Normal="100" zoomScaleSheetLayoutView="100" workbookViewId="0">
      <selection activeCell="N22" sqref="N22"/>
    </sheetView>
  </sheetViews>
  <sheetFormatPr defaultRowHeight="15"/>
  <cols>
    <col min="1" max="1" width="9.140625" style="3"/>
    <col min="2" max="2" width="36.140625" style="3" customWidth="1"/>
    <col min="3" max="3" width="20.7109375" style="3" customWidth="1"/>
    <col min="4" max="4" width="19.7109375" style="3" customWidth="1"/>
    <col min="5" max="5" width="21" style="3" customWidth="1"/>
    <col min="6" max="6" width="28.85546875" style="3" customWidth="1"/>
    <col min="7" max="7" width="27" style="3" customWidth="1"/>
    <col min="8" max="16384" width="9.140625" style="3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s="1" t="s">
        <v>7</v>
      </c>
      <c r="C2" s="3" t="s">
        <v>8</v>
      </c>
      <c r="D2" s="3" t="s">
        <v>9</v>
      </c>
      <c r="E2" s="3">
        <f>0.3*100000</f>
        <v>30000</v>
      </c>
      <c r="F2" s="4">
        <v>46229</v>
      </c>
    </row>
    <row r="3" spans="1:7">
      <c r="A3" s="3">
        <v>2</v>
      </c>
      <c r="B3" s="1" t="s">
        <v>10</v>
      </c>
      <c r="C3" s="3" t="s">
        <v>8</v>
      </c>
      <c r="D3" s="3" t="s">
        <v>9</v>
      </c>
      <c r="E3" s="3">
        <f>19.16*100000</f>
        <v>1916000</v>
      </c>
      <c r="F3" s="4">
        <v>46229</v>
      </c>
    </row>
    <row r="4" spans="1:7">
      <c r="A4" s="3">
        <v>3</v>
      </c>
      <c r="B4" s="1" t="s">
        <v>11</v>
      </c>
      <c r="C4" s="3" t="s">
        <v>8</v>
      </c>
      <c r="D4" s="3" t="s">
        <v>9</v>
      </c>
      <c r="E4" s="3">
        <f>11.08*100000</f>
        <v>1108000</v>
      </c>
      <c r="F4" s="4">
        <v>46229</v>
      </c>
    </row>
    <row r="5" spans="1:7">
      <c r="A5" s="3">
        <v>4</v>
      </c>
      <c r="B5" s="1" t="s">
        <v>12</v>
      </c>
      <c r="C5" s="3" t="s">
        <v>8</v>
      </c>
      <c r="D5" s="3" t="s">
        <v>9</v>
      </c>
      <c r="E5" s="3">
        <f>33.88*100000</f>
        <v>3388000.0000000005</v>
      </c>
      <c r="F5" s="4">
        <v>46229</v>
      </c>
    </row>
    <row r="6" spans="1:7">
      <c r="A6" s="3">
        <v>5</v>
      </c>
      <c r="B6" s="1" t="s">
        <v>13</v>
      </c>
      <c r="C6" s="3" t="s">
        <v>8</v>
      </c>
      <c r="D6" s="3" t="s">
        <v>14</v>
      </c>
      <c r="E6" s="3">
        <f>3.51*100000</f>
        <v>351000</v>
      </c>
      <c r="F6" s="4">
        <v>46229</v>
      </c>
    </row>
    <row r="7" spans="1:7">
      <c r="A7" s="3">
        <v>6</v>
      </c>
      <c r="B7" s="1" t="s">
        <v>15</v>
      </c>
      <c r="C7" s="3" t="s">
        <v>8</v>
      </c>
      <c r="D7" s="3" t="s">
        <v>14</v>
      </c>
      <c r="E7" s="3">
        <f>11.55*100000</f>
        <v>1155000</v>
      </c>
      <c r="F7" s="4">
        <v>46229</v>
      </c>
    </row>
    <row r="8" spans="1:7">
      <c r="A8" s="3">
        <v>7</v>
      </c>
      <c r="B8" s="1" t="s">
        <v>16</v>
      </c>
      <c r="C8" s="3" t="s">
        <v>8</v>
      </c>
      <c r="D8" s="3" t="s">
        <v>17</v>
      </c>
      <c r="E8" s="3">
        <f>0.2*100000</f>
        <v>20000</v>
      </c>
      <c r="F8" s="4">
        <v>46229</v>
      </c>
    </row>
    <row r="9" spans="1:7">
      <c r="A9" s="3">
        <v>8</v>
      </c>
      <c r="B9" s="1" t="s">
        <v>18</v>
      </c>
      <c r="C9" s="3" t="s">
        <v>8</v>
      </c>
      <c r="D9" s="3" t="s">
        <v>17</v>
      </c>
      <c r="E9" s="3">
        <f>0.2*100000</f>
        <v>20000</v>
      </c>
      <c r="F9" s="4">
        <v>46229</v>
      </c>
    </row>
    <row r="10" spans="1:7">
      <c r="A10" s="3">
        <v>9</v>
      </c>
      <c r="B10" s="1" t="s">
        <v>19</v>
      </c>
      <c r="C10" s="3" t="s">
        <v>8</v>
      </c>
      <c r="D10" s="3" t="s">
        <v>17</v>
      </c>
      <c r="E10" s="3">
        <f>1*100000</f>
        <v>100000</v>
      </c>
      <c r="F10" s="4">
        <v>46229</v>
      </c>
    </row>
    <row r="11" spans="1:7">
      <c r="A11" s="3">
        <v>10</v>
      </c>
      <c r="B11" s="1" t="s">
        <v>20</v>
      </c>
      <c r="C11" s="3" t="s">
        <v>8</v>
      </c>
      <c r="D11" s="3" t="s">
        <v>14</v>
      </c>
      <c r="E11" s="3">
        <f>7.02*100000</f>
        <v>702000</v>
      </c>
      <c r="F11" s="4">
        <v>46229</v>
      </c>
    </row>
    <row r="12" spans="1:7">
      <c r="A12" s="3">
        <v>11</v>
      </c>
      <c r="B12" s="1" t="s">
        <v>21</v>
      </c>
      <c r="C12" s="3" t="s">
        <v>8</v>
      </c>
      <c r="D12" s="3" t="s">
        <v>17</v>
      </c>
      <c r="E12" s="3">
        <f>15*100000</f>
        <v>1500000</v>
      </c>
      <c r="F12" s="4">
        <v>46229</v>
      </c>
    </row>
    <row r="13" spans="1:7">
      <c r="A13" s="3">
        <v>12</v>
      </c>
      <c r="B13" s="1" t="s">
        <v>22</v>
      </c>
      <c r="C13" s="3" t="s">
        <v>8</v>
      </c>
      <c r="D13" s="3" t="s">
        <v>14</v>
      </c>
      <c r="E13" s="3">
        <f>0.84*100000</f>
        <v>84000</v>
      </c>
      <c r="F13" s="4">
        <v>46229</v>
      </c>
    </row>
    <row r="14" spans="1:7">
      <c r="A14" s="3">
        <v>13</v>
      </c>
      <c r="B14" s="1" t="s">
        <v>23</v>
      </c>
      <c r="C14" s="3" t="s">
        <v>8</v>
      </c>
      <c r="D14" s="3" t="s">
        <v>24</v>
      </c>
      <c r="E14" s="3">
        <f>5.2*100000</f>
        <v>520000</v>
      </c>
      <c r="F14" s="4">
        <v>46229</v>
      </c>
    </row>
    <row r="15" spans="1:7">
      <c r="A15" s="3">
        <v>14</v>
      </c>
      <c r="B15" s="1" t="s">
        <v>25</v>
      </c>
      <c r="C15" s="3" t="s">
        <v>8</v>
      </c>
      <c r="D15" s="3" t="s">
        <v>24</v>
      </c>
      <c r="E15" s="3">
        <f>1.67*100000</f>
        <v>167000</v>
      </c>
      <c r="F15" s="4">
        <v>46229</v>
      </c>
    </row>
    <row r="16" spans="1:7">
      <c r="A16" s="3">
        <v>15</v>
      </c>
      <c r="B16" s="1" t="s">
        <v>26</v>
      </c>
      <c r="C16" s="3" t="s">
        <v>8</v>
      </c>
      <c r="D16" s="3" t="s">
        <v>14</v>
      </c>
      <c r="E16" s="3">
        <f>4.98*100000</f>
        <v>498000.00000000006</v>
      </c>
      <c r="F16" s="4">
        <v>46229</v>
      </c>
    </row>
    <row r="17" spans="1:6" ht="43.5">
      <c r="A17" s="3">
        <v>16</v>
      </c>
      <c r="B17" s="2" t="s">
        <v>27</v>
      </c>
      <c r="C17" s="3" t="s">
        <v>8</v>
      </c>
      <c r="D17" s="3" t="s">
        <v>17</v>
      </c>
      <c r="E17" s="3">
        <f>5.75*100000</f>
        <v>575000</v>
      </c>
      <c r="F17" s="4">
        <v>46229</v>
      </c>
    </row>
    <row r="18" spans="1:6" ht="29.25">
      <c r="A18" s="3">
        <v>17</v>
      </c>
      <c r="B18" s="5" t="s">
        <v>28</v>
      </c>
      <c r="C18" s="3" t="s">
        <v>8</v>
      </c>
      <c r="D18" s="3" t="s">
        <v>17</v>
      </c>
      <c r="E18" s="3">
        <f>4*100000</f>
        <v>400000</v>
      </c>
      <c r="F18" s="4">
        <v>46229</v>
      </c>
    </row>
    <row r="19" spans="1:6" ht="29.25">
      <c r="A19" s="3">
        <v>18</v>
      </c>
      <c r="B19" s="2" t="s">
        <v>29</v>
      </c>
      <c r="C19" s="3" t="s">
        <v>8</v>
      </c>
      <c r="D19" s="3" t="s">
        <v>30</v>
      </c>
      <c r="E19" s="3">
        <f>35*100000</f>
        <v>3500000</v>
      </c>
      <c r="F19" s="4">
        <v>46229</v>
      </c>
    </row>
    <row r="20" spans="1:6">
      <c r="A20" s="3">
        <v>19</v>
      </c>
      <c r="B20" s="1" t="s">
        <v>31</v>
      </c>
      <c r="C20" s="3" t="s">
        <v>8</v>
      </c>
      <c r="D20" s="3" t="s">
        <v>32</v>
      </c>
      <c r="E20" s="3">
        <f>3.47*100000</f>
        <v>347000</v>
      </c>
      <c r="F20" s="4">
        <v>46229</v>
      </c>
    </row>
    <row r="21" spans="1:6">
      <c r="A21" s="3">
        <v>20</v>
      </c>
      <c r="B21" s="1" t="s">
        <v>33</v>
      </c>
      <c r="C21" s="3" t="s">
        <v>8</v>
      </c>
      <c r="D21" s="3" t="s">
        <v>32</v>
      </c>
      <c r="E21" s="3">
        <f>3.07*100000</f>
        <v>307000</v>
      </c>
      <c r="F21" s="4">
        <v>46229</v>
      </c>
    </row>
    <row r="22" spans="1:6">
      <c r="A22" s="3">
        <v>21</v>
      </c>
      <c r="B22" s="1" t="s">
        <v>34</v>
      </c>
      <c r="C22" s="3" t="s">
        <v>8</v>
      </c>
      <c r="D22" s="3" t="s">
        <v>32</v>
      </c>
      <c r="E22" s="3">
        <f>29.81*100000</f>
        <v>2981000</v>
      </c>
      <c r="F22" s="4">
        <v>46229</v>
      </c>
    </row>
    <row r="23" spans="1:6">
      <c r="A23" s="3">
        <v>22</v>
      </c>
      <c r="B23" s="6" t="s">
        <v>35</v>
      </c>
      <c r="C23" s="3" t="s">
        <v>36</v>
      </c>
      <c r="D23" s="3" t="s">
        <v>37</v>
      </c>
      <c r="E23" s="3">
        <f>12*100000</f>
        <v>1200000</v>
      </c>
      <c r="F23" s="4">
        <v>46229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zoomScaleNormal="100" zoomScaleSheetLayoutView="100" workbookViewId="0">
      <selection activeCell="A3" sqref="A3"/>
    </sheetView>
  </sheetViews>
  <sheetFormatPr defaultRowHeight="15"/>
  <cols>
    <col min="1" max="1" width="18.7109375" customWidth="1"/>
    <col min="2" max="2" width="14" customWidth="1"/>
    <col min="3" max="3" width="15.42578125" customWidth="1"/>
    <col min="4" max="4" width="15" customWidth="1"/>
  </cols>
  <sheetData>
    <row r="1" spans="1:4">
      <c r="A1" t="s">
        <v>38</v>
      </c>
      <c r="B1" t="s">
        <v>39</v>
      </c>
      <c r="C1" t="s">
        <v>40</v>
      </c>
      <c r="D1" t="s">
        <v>41</v>
      </c>
    </row>
    <row r="2" spans="1:4">
      <c r="A2" s="7">
        <v>46229</v>
      </c>
      <c r="B2">
        <v>19669000</v>
      </c>
      <c r="C2">
        <v>1200000</v>
      </c>
      <c r="D2">
        <f>B2-C2</f>
        <v>18469000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Mahesh Patkar</cp:lastModifiedBy>
  <cp:revision/>
  <dcterms:created xsi:type="dcterms:W3CDTF">2026-07-26T04:58:01Z</dcterms:created>
  <dcterms:modified xsi:type="dcterms:W3CDTF">2026-07-26T05:32:37Z</dcterms:modified>
  <cp:category/>
  <cp:contentStatus/>
</cp:coreProperties>
</file>